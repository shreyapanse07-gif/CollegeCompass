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ocuments\internship problem statements\"/>
    </mc:Choice>
  </mc:AlternateContent>
  <xr:revisionPtr revIDLastSave="0" documentId="13_ncr:1_{F80CA610-CB03-4975-9E28-7188312F136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TRACEABILITY MATRIX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2" l="1"/>
  <c r="J5" i="2"/>
  <c r="J4" i="2"/>
  <c r="J3" i="2"/>
</calcChain>
</file>

<file path=xl/sharedStrings.xml><?xml version="1.0" encoding="utf-8"?>
<sst xmlns="http://schemas.openxmlformats.org/spreadsheetml/2006/main" count="218" uniqueCount="139">
  <si>
    <t>INDUSTRY ACADEMIA COMMUNITY</t>
  </si>
  <si>
    <t>DOCUMENT NAME:</t>
  </si>
  <si>
    <t>REQUIREMENT TRACEABILITY MATRIX (RTM)</t>
  </si>
  <si>
    <t>CREATED ON:</t>
  </si>
  <si>
    <t>20-May-2025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</si>
  <si>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</si>
  <si>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</si>
  <si>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</si>
  <si>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</si>
  <si>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t>1. Text in Italics are instructions for completing the document</t>
  </si>
  <si>
    <t>2. Text in orange is just for reference and should be deleted before submitting the document</t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</si>
  <si>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</si>
  <si>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</si>
  <si>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</si>
  <si>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</si>
  <si>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</si>
  <si>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</si>
  <si>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CollegeCompass — College Finder Web Application</t>
  </si>
  <si>
    <t>TEST CASE COUNT</t>
  </si>
  <si>
    <t>DOCUMENT VERSION NUMBER</t>
  </si>
  <si>
    <t>v1.0</t>
  </si>
  <si>
    <t>PASSED</t>
  </si>
  <si>
    <t>PROJECT MANAGER</t>
  </si>
  <si>
    <t>Harshada Topale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</si>
  <si>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</si>
  <si>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</si>
  <si>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</si>
  <si>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</si>
  <si>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</si>
  <si>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</si>
  <si>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</si>
  <si>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</si>
  <si>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</si>
  <si>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</si>
  <si>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</si>
  <si>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Landing Page Load</t>
  </si>
  <si>
    <t>Open landing.html in Chrome browser</t>
  </si>
  <si>
    <t>Manual — System Testing</t>
  </si>
  <si>
    <t>Landing page loads with hero section, animated blobs, exam ticker, how-it-works steps and feature cards. No console errors.</t>
  </si>
  <si>
    <t>All sections loaded. Animations ran correctly. No console errors.</t>
  </si>
  <si>
    <t>Landing Page — CTA Button</t>
  </si>
  <si>
    <t>Click "Find My College" button on landing page</t>
  </si>
  <si>
    <t>Browser navigates to index.html</t>
  </si>
  <si>
    <t>Navigated to index.html successfully.</t>
  </si>
  <si>
    <t>API — GET /colleges (default)</t>
  </si>
  <si>
    <t>GET http://localhost:3000/colleges</t>
  </si>
  <si>
    <t>Manual — Integration Testing</t>
  </si>
  <si>
    <t>Returns 20 college records with pagination object: total=455, page=1, limit=20, totalPages=23, hasNext=true, hasPrev=false</t>
  </si>
  <si>
    <t>Returned 20 colleges. Pagination object correct.</t>
  </si>
  <si>
    <t>Tested in Chrome DevTools Network tab</t>
  </si>
  <si>
    <t>API — GET /colleges?exam=JEE Main</t>
  </si>
  <si>
    <t>GET /colleges?exam=JEE%20Main</t>
  </si>
  <si>
    <t>Returns only colleges with JEE Main cutoffs. All records have exam_name = JEE Main.</t>
  </si>
  <si>
    <t>Filtered correctly. All returned colleges had exam_name = JEE Main.</t>
  </si>
  <si>
    <t>API — GET /colleges?percentile=99</t>
  </si>
  <si>
    <t>GET /colleges?percentile=99</t>
  </si>
  <si>
    <t>Returns only colleges where min_percentile &lt;= 99 AND max_percentile &gt;= 99</t>
  </si>
  <si>
    <t>Returned IITs and top NITs with cutoffs covering 99 percentile.</t>
  </si>
  <si>
    <t>API — GET /colleges?domain=medical</t>
  </si>
  <si>
    <t>GET /colleges?domain=medical</t>
  </si>
  <si>
    <t>Returns AIIMS campuses, CMC Vellore and other medical colleges only</t>
  </si>
  <si>
    <t>Returned 13 medical colleges after college_courses links were added.</t>
  </si>
  <si>
    <t>Initially FAILED — fixed by inserting college_courses records</t>
  </si>
  <si>
    <t>API — GET /colleges?type=IIT</t>
  </si>
  <si>
    <t>GET /colleges?type=IIT</t>
  </si>
  <si>
    <t>Returns only colleges where type = IIT</t>
  </si>
  <si>
    <t>Returned all 16 IIT colleges.</t>
  </si>
  <si>
    <t>API — GET /colleges/exams/all</t>
  </si>
  <si>
    <t>GET http://localhost:3000/colleges/exams/all</t>
  </si>
  <si>
    <t>Returns all 12 exams: JEE Main, JEE Advanced, CAT, NEET, BITSAT, CUET, GATE, SAT, IELTS, CLAT, NATA, UCEED</t>
  </si>
  <si>
    <t>Returned 12 exams correctly.</t>
  </si>
  <si>
    <t>Route ordering bug fixed — /exams/all placed before /:id</t>
  </si>
  <si>
    <t>API — GET /colleges/:id</t>
  </si>
  <si>
    <t>GET /colleges/1</t>
  </si>
  <si>
    <t>Returns full college object with nested: placements[], cutoffs[], courses[], factors{}</t>
  </si>
  <si>
    <t>Returned IIT Bombay with all nested data arrays populated.</t>
  </si>
  <si>
    <t>API — POST /colleges/compare</t>
  </si>
  <si>
    <t>POST /colleges/compare body: { "ids": [1, 6, 9] }</t>
  </si>
  <si>
    <t>Returns array of 3 college objects with placement, cutoff and factor fields joined</t>
  </si>
  <si>
    <t>Returned IIT Bombay, NIT Trichy, BITS Pilani with all comparison fields.</t>
  </si>
  <si>
    <t>Explore Page — Exam Chip</t>
  </si>
  <si>
    <t>Click JEE Main chip on index.html</t>
  </si>
  <si>
    <t>Chip turns active (green border), college grid reloads with JEE Main colleges only, results count updates</t>
  </si>
  <si>
    <t>Chip activated. Grid reloaded with JEE Main colleges. Count updated.</t>
  </si>
  <si>
    <t>Explore Page — Percentile Filter</t>
  </si>
  <si>
    <t>Enter 99 in Min percentile, click Apply Filters</t>
  </si>
  <si>
    <t>Grid shows only colleges where cutoff range covers 99 percentile</t>
  </si>
  <si>
    <t>Filtered to top IITs and NITs with 99+ cutoffs.</t>
  </si>
  <si>
    <t>Explore Page — Domain Medical</t>
  </si>
  <si>
    <t>Select Medical from domain dropdown, click Apply Filters</t>
  </si>
  <si>
    <t>Grid shows medical colleges. Engineering colleges not present.</t>
  </si>
  <si>
    <t>Medical colleges shown correctly after fix.</t>
  </si>
  <si>
    <t>Was failing before college_courses data inserted</t>
  </si>
  <si>
    <t>Explore Page — Type Checkbox</t>
  </si>
  <si>
    <t>Check IIM checkbox, click Apply Filters</t>
  </si>
  <si>
    <t>Only IIM type colleges returned</t>
  </si>
  <si>
    <t>All IIMs returned. No other college types present.</t>
  </si>
  <si>
    <t>Explore Page — Search Bar</t>
  </si>
  <si>
    <t>Type "NIT" in nav search input</t>
  </si>
  <si>
    <t>Cards filter in real-time to NIT colleges only. 300ms debounce applied.</t>
  </si>
  <si>
    <t>NIT colleges filtered after 300ms. Other colleges hidden.</t>
  </si>
  <si>
    <t>Explore Page — Sort by Package</t>
  </si>
  <si>
    <t>Select Avg. Package from sort dropdown</t>
  </si>
  <si>
    <t>Cards reorder with highest avg_package_lpa colleges first</t>
  </si>
  <si>
    <t>IIMs appeared at top (35L). Sort descending correct.</t>
  </si>
  <si>
    <t>Pagination — Next Page</t>
  </si>
  <si>
    <t>Click Next → button on page 1</t>
  </si>
  <si>
    <t>Page 2 loads with next 20 colleges. Results show "Page 2 of 23". Scroll returns to top.</t>
  </si>
  <si>
    <t>Page 2 loaded. Scroll to top worked. Pagination bar updated.</t>
  </si>
  <si>
    <t>Pagination — Direct Page Click</t>
  </si>
  <si>
    <t>Click page number 5 in pagination bar</t>
  </si>
  <si>
    <t>Page 5 colleges load. Page 5 button shows active state.</t>
  </si>
  <si>
    <t>Page 5 loaded correctly with active button highlighted.</t>
  </si>
  <si>
    <t>Filters Reset on Page Change</t>
  </si>
  <si>
    <t>Apply exam filter then change page</t>
  </si>
  <si>
    <t>Filters persist across page changes. Page 2 still shows filtered results.</t>
  </si>
  <si>
    <t>currentFilters object preserved. Page 2 returned filtered results.</t>
  </si>
  <si>
    <t>College Detail Page</t>
  </si>
  <si>
    <t>Click any college card</t>
  </si>
  <si>
    <t>college.html loads with college name, NIRF badge, quick stats, cutoffs, placements, courses and campus sections</t>
  </si>
  <si>
    <t>Detail page loaded with all sections for IIT Bombay.</t>
  </si>
  <si>
    <t>Compare — Add 2 Colleges</t>
  </si>
  <si>
    <t>Click + Compare on 2 college cards</t>
  </si>
  <si>
    <t>Compare bar slides up from bottom. Both colleges shown in slots. Nav badge shows count 2.</t>
  </si>
  <si>
    <t>Compare bar appeared. Both colleges in slots. Badge count = 2.</t>
  </si>
  <si>
    <t>Compare — Block 4th College</t>
  </si>
  <si>
    <t>Try clicking + Compare on a 4th college</t>
  </si>
  <si>
    <t>Alert: "Max 3 colleges to compare". 4th college not added.</t>
  </si>
  <si>
    <t>Alert shown. 4th college not added to compareList.</t>
  </si>
  <si>
    <t>Compare — Compare Now</t>
  </si>
  <si>
    <t>Add 2 colleges, click Compare Now</t>
  </si>
  <si>
    <t>compare.html loads with winner banner, header cards and table. Best values highlighted in green.</t>
  </si>
  <si>
    <t>Compare page loaded. Green highlighting on best package and placement.</t>
  </si>
  <si>
    <t>DOMAIN NAME:  Web Development</t>
  </si>
  <si>
    <t>INTERN NAME: Shreya Panse</t>
  </si>
  <si>
    <t>API — GET /colleges?percentile=100</t>
  </si>
  <si>
    <t>GET /colleges?percentile=100</t>
  </si>
  <si>
    <t>Returns only colleges where min_percentile &lt;= 99 AND max_percentile &gt;= 100</t>
  </si>
  <si>
    <t>Shreya Panse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</si>
</sst>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273755"/>
      <name val="Calibri"/>
      <family val="2"/>
      <charset val="1"/>
    </font>
    <font>
      <i/>
      <sz val="11"/>
      <color rgb="FF273755"/>
      <name val="Calibri"/>
      <family val="2"/>
      <charset val="1"/>
    </font>
    <font>
      <b/>
      <sz val="10"/>
      <color rgb="FF00935D"/>
      <name val="Arial"/>
      <charset val="1"/>
    </font>
    <font>
      <b/>
      <i/>
      <sz val="11"/>
      <color rgb="FF273755"/>
      <name val="Calibri"/>
      <family val="2"/>
      <charset val="1"/>
    </font>
    <font>
      <i/>
      <sz val="11"/>
      <color theme="0" tint="-0.14999847407452621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A7313"/>
        <bgColor rgb="FFC55A00"/>
      </patternFill>
    </fill>
    <fill>
      <patternFill patternType="solid">
        <fgColor theme="0"/>
        <bgColor rgb="FFFFFFCC"/>
      </patternFill>
    </fill>
    <fill>
      <patternFill patternType="solid">
        <fgColor rgb="FFFEC601"/>
        <bgColor rgb="FFFF9900"/>
      </patternFill>
    </fill>
    <fill>
      <patternFill patternType="solid">
        <fgColor rgb="FF3DA5D9"/>
        <bgColor rgb="FF339966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0" borderId="1" xfId="0" applyBorder="1"/>
    <xf numFmtId="0" fontId="0" fillId="3" borderId="0" xfId="0" applyFill="1"/>
    <xf numFmtId="0" fontId="0" fillId="3" borderId="3" xfId="0" applyFill="1" applyBorder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3" xfId="0" applyBorder="1"/>
    <xf numFmtId="0" fontId="2" fillId="4" borderId="4" xfId="0" applyFont="1" applyFill="1" applyBorder="1"/>
    <xf numFmtId="0" fontId="0" fillId="0" borderId="4" xfId="0" applyBorder="1"/>
    <xf numFmtId="0" fontId="5" fillId="5" borderId="0" xfId="0" applyFont="1" applyFill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6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35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DA5D9"/>
      <rgbColor rgb="FF99CC00"/>
      <rgbColor rgb="FFFEC601"/>
      <rgbColor rgb="FFFF9900"/>
      <rgbColor rgb="FFEA7313"/>
      <rgbColor rgb="FF666699"/>
      <rgbColor rgb="FF969696"/>
      <rgbColor rgb="FF003366"/>
      <rgbColor rgb="FF339966"/>
      <rgbColor rgb="FF003300"/>
      <rgbColor rgb="FF333300"/>
      <rgbColor rgb="FFC55A00"/>
      <rgbColor rgb="FF993366"/>
      <rgbColor rgb="FF333399"/>
      <rgbColor rgb="FF2737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28440</xdr:rowOff>
    </xdr:from>
    <xdr:to>
      <xdr:col>1</xdr:col>
      <xdr:colOff>1037880</xdr:colOff>
      <xdr:row>6</xdr:row>
      <xdr:rowOff>28080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559" t="23891" r="-559" b="27225"/>
        <a:stretch/>
      </xdr:blipFill>
      <xdr:spPr>
        <a:xfrm>
          <a:off x="0" y="266400"/>
          <a:ext cx="210528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20" displayName="Table120" ref="C9:J31" totalsRowShown="0">
  <autoFilter ref="C9:J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SL.NO" dataDxfId="7"/>
    <tableColumn id="2" xr3:uid="{00000000-0010-0000-0000-000002000000}" name="TEST CASE" dataDxfId="6"/>
    <tableColumn id="3" xr3:uid="{00000000-0010-0000-0000-000003000000}" name="TEST INPUT DATA" dataDxfId="5"/>
    <tableColumn id="4" xr3:uid="{00000000-0010-0000-0000-000004000000}" name="TEST PROCEDURE" dataDxfId="4"/>
    <tableColumn id="5" xr3:uid="{00000000-0010-0000-0000-000005000000}" name="EXPECTED RESULT" dataDxfId="3"/>
    <tableColumn id="6" xr3:uid="{00000000-0010-0000-0000-000006000000}" name="ACTUAL RESULT" dataDxfId="2"/>
    <tableColumn id="7" xr3:uid="{00000000-0010-0000-0000-000007000000}" name="STATUS " dataDxfId="1"/>
    <tableColumn id="8" xr3:uid="{00000000-0010-0000-0000-000008000000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18" zoomScaleNormal="100" workbookViewId="0">
      <selection activeCell="A9" sqref="A9"/>
    </sheetView>
  </sheetViews>
  <sheetFormatPr defaultColWidth="11.44140625" defaultRowHeight="14.4" x14ac:dyDescent="0.3"/>
  <cols>
    <col min="1" max="1" width="15.109375" customWidth="1"/>
    <col min="2" max="2" width="21.6640625" customWidth="1"/>
  </cols>
  <sheetData>
    <row r="1" spans="1:2" ht="18.75" customHeight="1" x14ac:dyDescent="0.35">
      <c r="A1" s="4" t="s">
        <v>0</v>
      </c>
    </row>
    <row r="8" spans="1:2" x14ac:dyDescent="0.3">
      <c r="A8" s="5" t="s">
        <v>133</v>
      </c>
    </row>
    <row r="9" spans="1:2" x14ac:dyDescent="0.3">
      <c r="A9" s="5" t="s">
        <v>134</v>
      </c>
    </row>
    <row r="10" spans="1:2" x14ac:dyDescent="0.3">
      <c r="A10" s="5" t="s">
        <v>1</v>
      </c>
      <c r="B10" t="s">
        <v>2</v>
      </c>
    </row>
    <row r="11" spans="1:2" x14ac:dyDescent="0.3">
      <c r="A11" s="5" t="s">
        <v>3</v>
      </c>
      <c r="B11" t="s">
        <v>4</v>
      </c>
    </row>
    <row r="14" spans="1:2" x14ac:dyDescent="0.3">
      <c r="A14" s="5" t="s">
        <v>5</v>
      </c>
    </row>
    <row r="15" spans="1:2" x14ac:dyDescent="0.3">
      <c r="A15" t="s">
        <v>6</v>
      </c>
    </row>
    <row r="16" spans="1:2" x14ac:dyDescent="0.3">
      <c r="A16" s="6" t="s">
        <v>7</v>
      </c>
    </row>
    <row r="17" spans="1:1" x14ac:dyDescent="0.3">
      <c r="A17" s="6"/>
    </row>
    <row r="18" spans="1:1" x14ac:dyDescent="0.3">
      <c r="A18" s="7" t="s">
        <v>8</v>
      </c>
    </row>
    <row r="19" spans="1:1" x14ac:dyDescent="0.3">
      <c r="A19" s="6" t="s">
        <v>9</v>
      </c>
    </row>
    <row r="20" spans="1:1" x14ac:dyDescent="0.3">
      <c r="A20" s="6" t="s">
        <v>10</v>
      </c>
    </row>
    <row r="21" spans="1:1" x14ac:dyDescent="0.3">
      <c r="A21" s="6" t="s">
        <v>11</v>
      </c>
    </row>
    <row r="22" spans="1:1" x14ac:dyDescent="0.3">
      <c r="A22" s="6" t="s">
        <v>12</v>
      </c>
    </row>
    <row r="23" spans="1:1" x14ac:dyDescent="0.3">
      <c r="A23" s="6" t="s">
        <v>13</v>
      </c>
    </row>
    <row r="24" spans="1:1" x14ac:dyDescent="0.3">
      <c r="A24" s="6" t="s">
        <v>14</v>
      </c>
    </row>
    <row r="25" spans="1:1" x14ac:dyDescent="0.3">
      <c r="A25" s="6"/>
    </row>
    <row r="26" spans="1:1" x14ac:dyDescent="0.3">
      <c r="A26" s="8"/>
    </row>
    <row r="27" spans="1:1" x14ac:dyDescent="0.3">
      <c r="A27" s="6"/>
    </row>
    <row r="28" spans="1:1" x14ac:dyDescent="0.3">
      <c r="A28" s="6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E699"/>
  </sheetPr>
  <dimension ref="B1:P42"/>
  <sheetViews>
    <sheetView showGridLines="0" tabSelected="1" zoomScale="74" zoomScaleNormal="70" workbookViewId="0">
      <selection activeCell="J36" sqref="J36"/>
    </sheetView>
  </sheetViews>
  <sheetFormatPr defaultColWidth="8.88671875" defaultRowHeight="14.4" x14ac:dyDescent="0.3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6" ht="26.25" customHeight="1" x14ac:dyDescent="0.3">
      <c r="B1" s="9"/>
      <c r="C1" s="3" t="s">
        <v>15</v>
      </c>
      <c r="D1" s="3"/>
      <c r="E1" s="3"/>
      <c r="F1" s="3"/>
      <c r="G1" s="3"/>
      <c r="H1" s="3"/>
      <c r="I1" s="3"/>
      <c r="J1" s="3"/>
      <c r="K1" s="19"/>
      <c r="L1" s="19"/>
      <c r="M1" s="19"/>
      <c r="N1" s="19"/>
      <c r="O1" s="19"/>
      <c r="P1" s="19"/>
    </row>
    <row r="2" spans="2:16" s="10" customFormat="1" ht="26.25" customHeight="1" x14ac:dyDescent="0.3">
      <c r="B2" s="11"/>
      <c r="C2" s="12"/>
      <c r="D2" s="13"/>
      <c r="E2" s="13"/>
      <c r="F2" s="13"/>
      <c r="G2" s="13"/>
      <c r="H2" s="13"/>
      <c r="I2" s="13"/>
      <c r="J2" s="13"/>
      <c r="K2" s="20"/>
      <c r="L2" s="20"/>
      <c r="M2" s="20"/>
      <c r="N2" s="20"/>
      <c r="O2" s="20"/>
      <c r="P2" s="20"/>
    </row>
    <row r="3" spans="2:16" x14ac:dyDescent="0.3">
      <c r="B3" s="14"/>
      <c r="C3" s="2" t="s">
        <v>16</v>
      </c>
      <c r="D3" s="2"/>
      <c r="E3" s="2"/>
      <c r="F3" s="1" t="s">
        <v>17</v>
      </c>
      <c r="G3" s="1"/>
      <c r="H3" s="1"/>
      <c r="I3" s="15" t="s">
        <v>18</v>
      </c>
      <c r="J3" s="16">
        <f>COUNT(Table120[SL.NO])</f>
        <v>21</v>
      </c>
      <c r="K3" s="19"/>
      <c r="L3" s="19"/>
      <c r="M3" s="19"/>
      <c r="N3" s="19"/>
      <c r="O3" s="19"/>
      <c r="P3" s="19"/>
    </row>
    <row r="4" spans="2:16" x14ac:dyDescent="0.3">
      <c r="B4" s="14"/>
      <c r="C4" s="2" t="s">
        <v>19</v>
      </c>
      <c r="D4" s="2"/>
      <c r="E4" s="2"/>
      <c r="F4" s="1" t="s">
        <v>20</v>
      </c>
      <c r="G4" s="1"/>
      <c r="H4" s="1"/>
      <c r="I4" s="15" t="s">
        <v>21</v>
      </c>
      <c r="J4" s="16">
        <f>COUNTIF(Table120[[STATUS ]],"PASSED")</f>
        <v>21</v>
      </c>
      <c r="K4" s="19"/>
      <c r="L4" s="19"/>
      <c r="M4" s="19"/>
      <c r="N4" s="19"/>
      <c r="O4" s="19"/>
      <c r="P4" s="19"/>
    </row>
    <row r="5" spans="2:16" x14ac:dyDescent="0.3">
      <c r="B5" s="14"/>
      <c r="C5" s="2" t="s">
        <v>22</v>
      </c>
      <c r="D5" s="2"/>
      <c r="E5" s="2"/>
      <c r="F5" s="1" t="s">
        <v>23</v>
      </c>
      <c r="G5" s="1"/>
      <c r="H5" s="1"/>
      <c r="I5" s="15" t="s">
        <v>24</v>
      </c>
      <c r="J5" s="16">
        <f>COUNTIF(Table120[[STATUS ]],"FAILED")</f>
        <v>0</v>
      </c>
      <c r="K5" s="19"/>
      <c r="L5" s="19"/>
      <c r="M5" s="19"/>
      <c r="N5" s="19"/>
      <c r="O5" s="19"/>
      <c r="P5" s="19"/>
    </row>
    <row r="6" spans="2:16" x14ac:dyDescent="0.3">
      <c r="B6" s="14"/>
      <c r="C6" s="2" t="s">
        <v>25</v>
      </c>
      <c r="D6" s="2"/>
      <c r="E6" s="2"/>
      <c r="F6" s="1" t="s">
        <v>138</v>
      </c>
      <c r="G6" s="1"/>
      <c r="H6" s="1"/>
      <c r="I6" s="15" t="s">
        <v>26</v>
      </c>
      <c r="J6" s="16">
        <f>COUNTIF(Table120[[STATUS ]],"SKIPPED")</f>
        <v>0</v>
      </c>
      <c r="K6" s="19"/>
      <c r="L6" s="19"/>
      <c r="M6" s="19"/>
      <c r="N6" s="19"/>
      <c r="O6" s="19"/>
      <c r="P6" s="19"/>
    </row>
    <row r="7" spans="2:16" x14ac:dyDescent="0.3">
      <c r="B7" s="14"/>
      <c r="K7" s="19"/>
      <c r="L7" s="19"/>
      <c r="M7" s="19"/>
      <c r="N7" s="19"/>
      <c r="O7" s="19"/>
      <c r="P7" s="19"/>
    </row>
    <row r="8" spans="2:16" x14ac:dyDescent="0.3">
      <c r="B8" s="14"/>
      <c r="K8" s="19"/>
      <c r="L8" s="19"/>
      <c r="M8" s="19"/>
      <c r="N8" s="19"/>
      <c r="O8" s="19"/>
      <c r="P8" s="19"/>
    </row>
    <row r="9" spans="2:16" x14ac:dyDescent="0.3">
      <c r="B9" s="14"/>
      <c r="C9" s="17" t="s">
        <v>27</v>
      </c>
      <c r="D9" s="17" t="s">
        <v>28</v>
      </c>
      <c r="E9" s="18" t="s">
        <v>29</v>
      </c>
      <c r="F9" s="18" t="s">
        <v>30</v>
      </c>
      <c r="G9" s="18" t="s">
        <v>31</v>
      </c>
      <c r="H9" s="18" t="s">
        <v>32</v>
      </c>
      <c r="I9" s="18" t="s">
        <v>33</v>
      </c>
      <c r="J9" s="18" t="s">
        <v>34</v>
      </c>
      <c r="K9" s="19"/>
      <c r="L9" s="19"/>
      <c r="M9" s="19"/>
      <c r="N9" s="19"/>
      <c r="O9" s="19"/>
      <c r="P9" s="19"/>
    </row>
    <row r="10" spans="2:16" x14ac:dyDescent="0.3">
      <c r="B10" s="14"/>
      <c r="C10" s="16"/>
      <c r="D10" s="16"/>
      <c r="E10" s="16"/>
      <c r="F10" s="16"/>
      <c r="G10" s="16"/>
      <c r="H10" s="16"/>
      <c r="I10" s="16"/>
      <c r="J10" s="16"/>
      <c r="K10" s="19"/>
      <c r="L10" s="19"/>
      <c r="M10" s="19"/>
      <c r="N10" s="19"/>
      <c r="O10" s="19"/>
      <c r="P10" s="19"/>
    </row>
    <row r="11" spans="2:16" ht="165" customHeight="1" x14ac:dyDescent="0.3">
      <c r="B11" s="14"/>
      <c r="C11" s="21">
        <v>1</v>
      </c>
      <c r="D11" s="22" t="s">
        <v>35</v>
      </c>
      <c r="E11" s="22" t="s">
        <v>36</v>
      </c>
      <c r="F11" s="22" t="s">
        <v>37</v>
      </c>
      <c r="G11" s="22" t="s">
        <v>38</v>
      </c>
      <c r="H11" s="22" t="s">
        <v>39</v>
      </c>
      <c r="I11" s="23" t="s">
        <v>21</v>
      </c>
      <c r="J11" s="22"/>
      <c r="K11" s="19"/>
      <c r="L11" s="19"/>
      <c r="M11" s="19"/>
      <c r="N11" s="19"/>
      <c r="O11" s="19"/>
      <c r="P11" s="19"/>
    </row>
    <row r="12" spans="2:16" ht="43.2" x14ac:dyDescent="0.3">
      <c r="B12" s="14"/>
      <c r="C12" s="24">
        <v>2</v>
      </c>
      <c r="D12" s="24" t="s">
        <v>40</v>
      </c>
      <c r="E12" s="24" t="s">
        <v>41</v>
      </c>
      <c r="F12" s="24" t="s">
        <v>37</v>
      </c>
      <c r="G12" s="24" t="s">
        <v>42</v>
      </c>
      <c r="H12" s="24" t="s">
        <v>43</v>
      </c>
      <c r="I12" s="23" t="s">
        <v>21</v>
      </c>
      <c r="J12" s="24"/>
      <c r="K12" s="19"/>
      <c r="L12" s="19"/>
      <c r="M12" s="19"/>
      <c r="N12" s="19"/>
      <c r="O12" s="19"/>
      <c r="P12" s="19"/>
    </row>
    <row r="13" spans="2:16" ht="115.2" x14ac:dyDescent="0.3">
      <c r="B13" s="14"/>
      <c r="C13" s="25">
        <v>3</v>
      </c>
      <c r="D13" s="28" t="s">
        <v>44</v>
      </c>
      <c r="E13" s="24" t="s">
        <v>45</v>
      </c>
      <c r="F13" s="24" t="s">
        <v>46</v>
      </c>
      <c r="G13" s="24" t="s">
        <v>47</v>
      </c>
      <c r="H13" s="24" t="s">
        <v>48</v>
      </c>
      <c r="I13" s="23" t="s">
        <v>21</v>
      </c>
      <c r="J13" s="24" t="s">
        <v>49</v>
      </c>
      <c r="K13" s="19"/>
      <c r="L13" s="19"/>
      <c r="M13" s="19"/>
      <c r="N13" s="19"/>
      <c r="O13" s="19"/>
      <c r="P13" s="19"/>
    </row>
    <row r="14" spans="2:16" ht="86.4" x14ac:dyDescent="0.3">
      <c r="B14" s="14"/>
      <c r="C14" s="24">
        <v>4</v>
      </c>
      <c r="D14" s="24" t="s">
        <v>50</v>
      </c>
      <c r="E14" s="24" t="s">
        <v>51</v>
      </c>
      <c r="F14" s="24" t="s">
        <v>46</v>
      </c>
      <c r="G14" s="24" t="s">
        <v>52</v>
      </c>
      <c r="H14" s="24" t="s">
        <v>53</v>
      </c>
      <c r="I14" s="23" t="s">
        <v>21</v>
      </c>
      <c r="J14" s="24"/>
      <c r="K14" s="19"/>
      <c r="L14" s="19"/>
      <c r="M14" s="19"/>
      <c r="N14" s="19"/>
      <c r="O14" s="19"/>
      <c r="P14" s="19"/>
    </row>
    <row r="15" spans="2:16" ht="86.4" x14ac:dyDescent="0.3">
      <c r="B15" s="14"/>
      <c r="C15" s="24">
        <v>5</v>
      </c>
      <c r="D15" s="24" t="s">
        <v>54</v>
      </c>
      <c r="E15" s="24" t="s">
        <v>55</v>
      </c>
      <c r="F15" s="24" t="s">
        <v>46</v>
      </c>
      <c r="G15" s="24" t="s">
        <v>56</v>
      </c>
      <c r="H15" s="24" t="s">
        <v>57</v>
      </c>
      <c r="I15" s="23" t="s">
        <v>21</v>
      </c>
      <c r="J15" s="24"/>
      <c r="K15" s="19"/>
      <c r="L15" s="19"/>
      <c r="M15" s="19"/>
      <c r="N15" s="19"/>
      <c r="O15" s="19"/>
      <c r="P15" s="19"/>
    </row>
    <row r="16" spans="2:16" ht="72" x14ac:dyDescent="0.3">
      <c r="B16" s="14"/>
      <c r="C16" s="24">
        <v>6</v>
      </c>
      <c r="D16" s="24" t="s">
        <v>58</v>
      </c>
      <c r="E16" s="24" t="s">
        <v>59</v>
      </c>
      <c r="F16" s="24" t="s">
        <v>46</v>
      </c>
      <c r="G16" s="24" t="s">
        <v>60</v>
      </c>
      <c r="H16" s="24" t="s">
        <v>61</v>
      </c>
      <c r="I16" s="23" t="s">
        <v>21</v>
      </c>
      <c r="J16" s="24" t="s">
        <v>62</v>
      </c>
      <c r="K16" s="19"/>
      <c r="L16" s="19"/>
      <c r="M16" s="19"/>
      <c r="N16" s="19"/>
      <c r="O16" s="19"/>
      <c r="P16" s="19"/>
    </row>
    <row r="17" spans="2:16" ht="43.2" x14ac:dyDescent="0.3">
      <c r="B17" s="14"/>
      <c r="C17" s="24">
        <v>7</v>
      </c>
      <c r="D17" s="24" t="s">
        <v>63</v>
      </c>
      <c r="E17" s="24" t="s">
        <v>64</v>
      </c>
      <c r="F17" s="24" t="s">
        <v>46</v>
      </c>
      <c r="G17" s="24" t="s">
        <v>65</v>
      </c>
      <c r="H17" s="24" t="s">
        <v>66</v>
      </c>
      <c r="I17" s="23" t="s">
        <v>21</v>
      </c>
      <c r="J17" s="24"/>
      <c r="K17" s="19"/>
      <c r="L17" s="19"/>
      <c r="M17" s="19"/>
      <c r="N17" s="19"/>
      <c r="O17" s="19"/>
      <c r="P17" s="19"/>
    </row>
    <row r="18" spans="2:16" ht="86.4" x14ac:dyDescent="0.3">
      <c r="B18" s="14"/>
      <c r="C18" s="24">
        <v>8</v>
      </c>
      <c r="D18" s="24" t="s">
        <v>67</v>
      </c>
      <c r="E18" s="24" t="s">
        <v>68</v>
      </c>
      <c r="F18" s="24" t="s">
        <v>46</v>
      </c>
      <c r="G18" s="24" t="s">
        <v>69</v>
      </c>
      <c r="H18" s="24" t="s">
        <v>70</v>
      </c>
      <c r="I18" s="23" t="s">
        <v>21</v>
      </c>
      <c r="J18" s="24" t="s">
        <v>71</v>
      </c>
      <c r="K18" s="19"/>
      <c r="L18" s="19"/>
      <c r="M18" s="19"/>
      <c r="N18" s="19"/>
      <c r="O18" s="19"/>
      <c r="P18" s="19"/>
    </row>
    <row r="19" spans="2:16" ht="72" x14ac:dyDescent="0.3">
      <c r="B19" s="14"/>
      <c r="C19" s="24">
        <v>9</v>
      </c>
      <c r="D19" s="24" t="s">
        <v>72</v>
      </c>
      <c r="E19" s="24" t="s">
        <v>73</v>
      </c>
      <c r="F19" s="24" t="s">
        <v>46</v>
      </c>
      <c r="G19" s="24" t="s">
        <v>74</v>
      </c>
      <c r="H19" s="24" t="s">
        <v>75</v>
      </c>
      <c r="I19" s="23" t="s">
        <v>21</v>
      </c>
      <c r="J19" s="24"/>
      <c r="K19" s="19"/>
      <c r="L19" s="19"/>
      <c r="M19" s="19"/>
      <c r="N19" s="19"/>
      <c r="O19" s="19"/>
      <c r="P19" s="19"/>
    </row>
    <row r="20" spans="2:16" ht="72" x14ac:dyDescent="0.3">
      <c r="B20" s="14"/>
      <c r="C20" s="24">
        <v>10</v>
      </c>
      <c r="D20" s="24" t="s">
        <v>76</v>
      </c>
      <c r="E20" s="24" t="s">
        <v>77</v>
      </c>
      <c r="F20" s="24" t="s">
        <v>46</v>
      </c>
      <c r="G20" s="24" t="s">
        <v>78</v>
      </c>
      <c r="H20" s="24" t="s">
        <v>79</v>
      </c>
      <c r="I20" s="23" t="s">
        <v>21</v>
      </c>
      <c r="J20" s="24"/>
      <c r="K20" s="19"/>
      <c r="L20" s="19"/>
      <c r="M20" s="19"/>
      <c r="N20" s="19"/>
      <c r="O20" s="19"/>
      <c r="P20" s="19"/>
    </row>
    <row r="21" spans="2:16" ht="86.4" x14ac:dyDescent="0.3">
      <c r="B21" s="14"/>
      <c r="C21" s="24">
        <v>11</v>
      </c>
      <c r="D21" s="24" t="s">
        <v>80</v>
      </c>
      <c r="E21" s="24" t="s">
        <v>81</v>
      </c>
      <c r="F21" s="24" t="s">
        <v>37</v>
      </c>
      <c r="G21" s="24" t="s">
        <v>82</v>
      </c>
      <c r="H21" s="24" t="s">
        <v>83</v>
      </c>
      <c r="I21" s="23" t="s">
        <v>21</v>
      </c>
      <c r="J21" s="24"/>
      <c r="K21" s="19"/>
      <c r="L21" s="19"/>
      <c r="M21" s="19"/>
      <c r="N21" s="19"/>
      <c r="O21" s="19"/>
      <c r="P21" s="19"/>
    </row>
    <row r="22" spans="2:16" ht="57.6" x14ac:dyDescent="0.3">
      <c r="B22" s="14"/>
      <c r="C22" s="24">
        <v>12</v>
      </c>
      <c r="D22" s="24" t="s">
        <v>84</v>
      </c>
      <c r="E22" s="24" t="s">
        <v>85</v>
      </c>
      <c r="F22" s="24" t="s">
        <v>37</v>
      </c>
      <c r="G22" s="24" t="s">
        <v>86</v>
      </c>
      <c r="H22" s="24" t="s">
        <v>87</v>
      </c>
      <c r="I22" s="23" t="s">
        <v>21</v>
      </c>
      <c r="J22" s="24"/>
      <c r="K22" s="19"/>
      <c r="L22" s="19"/>
      <c r="M22" s="19"/>
      <c r="N22" s="19"/>
      <c r="O22" s="19"/>
      <c r="P22" s="19"/>
    </row>
    <row r="23" spans="2:16" ht="43.2" x14ac:dyDescent="0.3">
      <c r="B23" s="14"/>
      <c r="C23" s="24">
        <v>13</v>
      </c>
      <c r="D23" s="24" t="s">
        <v>88</v>
      </c>
      <c r="E23" s="24" t="s">
        <v>89</v>
      </c>
      <c r="F23" s="24" t="s">
        <v>37</v>
      </c>
      <c r="G23" s="24" t="s">
        <v>90</v>
      </c>
      <c r="H23" s="24" t="s">
        <v>91</v>
      </c>
      <c r="I23" s="23" t="s">
        <v>21</v>
      </c>
      <c r="J23" s="24" t="s">
        <v>92</v>
      </c>
      <c r="K23" s="19"/>
      <c r="L23" s="19"/>
      <c r="M23" s="19"/>
      <c r="N23" s="19"/>
      <c r="O23" s="19"/>
      <c r="P23" s="19"/>
    </row>
    <row r="24" spans="2:16" ht="43.2" x14ac:dyDescent="0.3">
      <c r="B24" s="14"/>
      <c r="C24" s="24">
        <v>14</v>
      </c>
      <c r="D24" s="24" t="s">
        <v>93</v>
      </c>
      <c r="E24" s="24" t="s">
        <v>94</v>
      </c>
      <c r="F24" s="24" t="s">
        <v>37</v>
      </c>
      <c r="G24" s="24" t="s">
        <v>95</v>
      </c>
      <c r="H24" s="24" t="s">
        <v>96</v>
      </c>
      <c r="I24" s="23" t="s">
        <v>21</v>
      </c>
      <c r="J24" s="24"/>
      <c r="K24" s="19"/>
      <c r="L24" s="19"/>
      <c r="M24" s="19"/>
      <c r="N24" s="19"/>
      <c r="O24" s="19"/>
      <c r="P24" s="19"/>
    </row>
    <row r="25" spans="2:16" ht="57.6" x14ac:dyDescent="0.3">
      <c r="B25" s="14"/>
      <c r="C25" s="24">
        <v>15</v>
      </c>
      <c r="D25" s="24" t="s">
        <v>97</v>
      </c>
      <c r="E25" s="24" t="s">
        <v>98</v>
      </c>
      <c r="F25" s="24" t="s">
        <v>37</v>
      </c>
      <c r="G25" s="24" t="s">
        <v>99</v>
      </c>
      <c r="H25" s="24" t="s">
        <v>100</v>
      </c>
      <c r="I25" s="23" t="s">
        <v>21</v>
      </c>
      <c r="J25" s="24"/>
      <c r="K25" s="19"/>
      <c r="L25" s="19"/>
      <c r="M25" s="19"/>
      <c r="N25" s="19"/>
      <c r="O25" s="19"/>
      <c r="P25" s="19"/>
    </row>
    <row r="26" spans="2:16" ht="57.6" x14ac:dyDescent="0.3">
      <c r="B26" s="14"/>
      <c r="C26" s="24">
        <v>16</v>
      </c>
      <c r="D26" s="24" t="s">
        <v>101</v>
      </c>
      <c r="E26" s="24" t="s">
        <v>102</v>
      </c>
      <c r="F26" s="24" t="s">
        <v>37</v>
      </c>
      <c r="G26" s="24" t="s">
        <v>103</v>
      </c>
      <c r="H26" s="24" t="s">
        <v>104</v>
      </c>
      <c r="I26" s="23" t="s">
        <v>21</v>
      </c>
      <c r="J26" s="24"/>
      <c r="K26" s="19"/>
      <c r="L26" s="19"/>
      <c r="M26" s="19"/>
      <c r="N26" s="19"/>
      <c r="O26" s="19"/>
      <c r="P26" s="19"/>
    </row>
    <row r="27" spans="2:16" ht="72" x14ac:dyDescent="0.3">
      <c r="B27" s="14"/>
      <c r="C27" s="24">
        <v>17</v>
      </c>
      <c r="D27" s="24" t="s">
        <v>105</v>
      </c>
      <c r="E27" s="24" t="s">
        <v>106</v>
      </c>
      <c r="F27" s="24" t="s">
        <v>37</v>
      </c>
      <c r="G27" s="24" t="s">
        <v>107</v>
      </c>
      <c r="H27" s="24" t="s">
        <v>108</v>
      </c>
      <c r="I27" s="23" t="s">
        <v>21</v>
      </c>
      <c r="J27" s="24"/>
      <c r="K27" s="19"/>
      <c r="L27" s="19"/>
      <c r="M27" s="19"/>
      <c r="N27" s="19"/>
      <c r="O27" s="19"/>
      <c r="P27" s="19"/>
    </row>
    <row r="28" spans="2:16" ht="43.2" x14ac:dyDescent="0.3">
      <c r="B28" s="14"/>
      <c r="C28" s="24">
        <v>18</v>
      </c>
      <c r="D28" s="24" t="s">
        <v>109</v>
      </c>
      <c r="E28" s="24" t="s">
        <v>110</v>
      </c>
      <c r="F28" s="24" t="s">
        <v>37</v>
      </c>
      <c r="G28" s="24" t="s">
        <v>111</v>
      </c>
      <c r="H28" s="24" t="s">
        <v>112</v>
      </c>
      <c r="I28" s="23" t="s">
        <v>21</v>
      </c>
      <c r="J28" s="24"/>
      <c r="K28" s="19"/>
      <c r="L28" s="19"/>
      <c r="M28" s="19"/>
      <c r="N28" s="19"/>
      <c r="O28" s="19"/>
      <c r="P28" s="19"/>
    </row>
    <row r="29" spans="2:16" ht="57.6" x14ac:dyDescent="0.3">
      <c r="B29" s="14"/>
      <c r="C29" s="24">
        <v>19</v>
      </c>
      <c r="D29" s="24" t="s">
        <v>113</v>
      </c>
      <c r="E29" s="24" t="s">
        <v>114</v>
      </c>
      <c r="F29" s="24" t="s">
        <v>37</v>
      </c>
      <c r="G29" s="24" t="s">
        <v>115</v>
      </c>
      <c r="H29" s="24" t="s">
        <v>116</v>
      </c>
      <c r="I29" s="23" t="s">
        <v>21</v>
      </c>
      <c r="J29" s="24"/>
      <c r="K29" s="19"/>
      <c r="L29" s="19"/>
      <c r="M29" s="19"/>
      <c r="N29" s="19"/>
      <c r="O29" s="19"/>
      <c r="P29" s="19"/>
    </row>
    <row r="30" spans="2:16" ht="86.4" x14ac:dyDescent="0.3">
      <c r="B30" s="14"/>
      <c r="C30" s="24">
        <v>20</v>
      </c>
      <c r="D30" s="24" t="s">
        <v>117</v>
      </c>
      <c r="E30" s="24" t="s">
        <v>118</v>
      </c>
      <c r="F30" s="24" t="s">
        <v>37</v>
      </c>
      <c r="G30" s="24" t="s">
        <v>119</v>
      </c>
      <c r="H30" s="24" t="s">
        <v>120</v>
      </c>
      <c r="I30" s="23" t="s">
        <v>21</v>
      </c>
      <c r="J30" s="24"/>
      <c r="K30" s="19"/>
      <c r="L30" s="19"/>
      <c r="M30" s="19"/>
      <c r="N30" s="19"/>
      <c r="O30" s="19"/>
      <c r="P30" s="19"/>
    </row>
    <row r="31" spans="2:16" ht="86.4" x14ac:dyDescent="0.3">
      <c r="B31" s="14"/>
      <c r="C31" s="26">
        <v>21</v>
      </c>
      <c r="D31" s="26" t="s">
        <v>121</v>
      </c>
      <c r="E31" s="26" t="s">
        <v>122</v>
      </c>
      <c r="F31" s="26" t="s">
        <v>37</v>
      </c>
      <c r="G31" s="26" t="s">
        <v>123</v>
      </c>
      <c r="H31" s="26" t="s">
        <v>124</v>
      </c>
      <c r="I31" s="23" t="s">
        <v>21</v>
      </c>
      <c r="J31" s="27"/>
      <c r="K31" s="19"/>
      <c r="L31" s="19"/>
      <c r="M31" s="19"/>
      <c r="N31" s="19"/>
      <c r="O31" s="19"/>
      <c r="P31" s="19"/>
    </row>
    <row r="32" spans="2:16" ht="15.75" customHeight="1" x14ac:dyDescent="0.3">
      <c r="B32" s="19"/>
      <c r="C32" s="24">
        <v>22</v>
      </c>
      <c r="D32" s="24" t="s">
        <v>125</v>
      </c>
      <c r="E32" s="24" t="s">
        <v>126</v>
      </c>
      <c r="F32" s="24" t="s">
        <v>37</v>
      </c>
      <c r="G32" s="24" t="s">
        <v>127</v>
      </c>
      <c r="H32" s="24" t="s">
        <v>128</v>
      </c>
      <c r="I32" s="23" t="s">
        <v>21</v>
      </c>
      <c r="J32" s="24"/>
      <c r="K32" s="19"/>
      <c r="L32" s="19"/>
      <c r="M32" s="19"/>
      <c r="N32" s="19"/>
      <c r="O32" s="19"/>
      <c r="P32" s="19"/>
    </row>
    <row r="33" spans="2:16" ht="72" x14ac:dyDescent="0.3">
      <c r="B33" s="19"/>
      <c r="C33" s="24">
        <v>23</v>
      </c>
      <c r="D33" s="24" t="s">
        <v>129</v>
      </c>
      <c r="E33" s="24" t="s">
        <v>130</v>
      </c>
      <c r="F33" s="24" t="s">
        <v>37</v>
      </c>
      <c r="G33" s="24" t="s">
        <v>131</v>
      </c>
      <c r="H33" s="24" t="s">
        <v>132</v>
      </c>
      <c r="I33" s="23" t="s">
        <v>21</v>
      </c>
      <c r="J33" s="24"/>
      <c r="K33" s="19"/>
      <c r="L33" s="19"/>
      <c r="M33" s="19"/>
      <c r="N33" s="19"/>
      <c r="O33" s="19"/>
      <c r="P33" s="19"/>
    </row>
    <row r="34" spans="2:16" x14ac:dyDescent="0.3">
      <c r="C34" s="16"/>
      <c r="D34" s="16"/>
      <c r="E34" s="16"/>
      <c r="F34" s="16"/>
      <c r="G34" s="16"/>
      <c r="H34" s="16"/>
      <c r="I34" s="16"/>
      <c r="J34" s="16"/>
      <c r="K34" s="19"/>
      <c r="L34" s="19"/>
      <c r="M34" s="19"/>
      <c r="N34" s="19"/>
      <c r="O34" s="19"/>
      <c r="P34" s="19"/>
    </row>
    <row r="35" spans="2:16" ht="100.8" x14ac:dyDescent="0.3">
      <c r="C35" s="21">
        <v>24</v>
      </c>
      <c r="D35" s="22" t="s">
        <v>35</v>
      </c>
      <c r="E35" s="22" t="s">
        <v>36</v>
      </c>
      <c r="F35" s="22" t="s">
        <v>37</v>
      </c>
      <c r="G35" s="22" t="s">
        <v>38</v>
      </c>
      <c r="H35" s="22" t="s">
        <v>39</v>
      </c>
      <c r="I35" s="23" t="s">
        <v>21</v>
      </c>
      <c r="J35" s="22"/>
      <c r="K35" s="19"/>
      <c r="L35" s="19"/>
      <c r="M35" s="19"/>
      <c r="N35" s="19"/>
      <c r="O35" s="19"/>
      <c r="P35" s="19"/>
    </row>
    <row r="36" spans="2:16" ht="43.2" x14ac:dyDescent="0.3">
      <c r="C36" s="24">
        <v>25</v>
      </c>
      <c r="D36" s="24" t="s">
        <v>40</v>
      </c>
      <c r="E36" s="24" t="s">
        <v>41</v>
      </c>
      <c r="F36" s="24" t="s">
        <v>37</v>
      </c>
      <c r="G36" s="24" t="s">
        <v>42</v>
      </c>
      <c r="H36" s="24" t="s">
        <v>43</v>
      </c>
      <c r="I36" s="23" t="s">
        <v>21</v>
      </c>
      <c r="J36" s="24"/>
      <c r="K36" s="19"/>
      <c r="L36" s="19"/>
      <c r="M36" s="19"/>
      <c r="N36" s="19"/>
      <c r="O36" s="19"/>
      <c r="P36" s="19"/>
    </row>
    <row r="37" spans="2:16" ht="115.2" x14ac:dyDescent="0.3">
      <c r="C37" s="25">
        <v>26</v>
      </c>
      <c r="D37" s="28" t="s">
        <v>44</v>
      </c>
      <c r="E37" s="24" t="s">
        <v>45</v>
      </c>
      <c r="F37" s="24" t="s">
        <v>46</v>
      </c>
      <c r="G37" s="24" t="s">
        <v>47</v>
      </c>
      <c r="H37" s="24" t="s">
        <v>48</v>
      </c>
      <c r="I37" s="23" t="s">
        <v>21</v>
      </c>
      <c r="J37" s="24" t="s">
        <v>49</v>
      </c>
      <c r="K37" s="19"/>
      <c r="L37" s="19"/>
      <c r="M37" s="19"/>
      <c r="N37" s="19"/>
      <c r="O37" s="19"/>
      <c r="P37" s="19"/>
    </row>
    <row r="38" spans="2:16" ht="86.4" x14ac:dyDescent="0.3">
      <c r="C38" s="24">
        <v>27</v>
      </c>
      <c r="D38" s="24" t="s">
        <v>50</v>
      </c>
      <c r="E38" s="24" t="s">
        <v>51</v>
      </c>
      <c r="F38" s="24" t="s">
        <v>46</v>
      </c>
      <c r="G38" s="24" t="s">
        <v>52</v>
      </c>
      <c r="H38" s="24" t="s">
        <v>53</v>
      </c>
      <c r="I38" s="23" t="s">
        <v>21</v>
      </c>
      <c r="J38" s="24"/>
      <c r="K38" s="19"/>
      <c r="L38" s="19"/>
      <c r="M38" s="19"/>
      <c r="N38" s="19"/>
      <c r="O38" s="19"/>
      <c r="P38" s="19"/>
    </row>
    <row r="39" spans="2:16" ht="86.4" x14ac:dyDescent="0.3">
      <c r="C39" s="24">
        <v>28</v>
      </c>
      <c r="D39" s="24" t="s">
        <v>135</v>
      </c>
      <c r="E39" s="24" t="s">
        <v>136</v>
      </c>
      <c r="F39" s="24" t="s">
        <v>46</v>
      </c>
      <c r="G39" s="24" t="s">
        <v>137</v>
      </c>
      <c r="H39" s="24" t="s">
        <v>57</v>
      </c>
      <c r="I39" s="23" t="s">
        <v>21</v>
      </c>
      <c r="J39" s="24"/>
      <c r="K39" s="19"/>
      <c r="L39" s="19"/>
      <c r="M39" s="19"/>
      <c r="N39" s="19"/>
      <c r="O39" s="19"/>
      <c r="P39" s="19"/>
    </row>
    <row r="40" spans="2:16" ht="72" x14ac:dyDescent="0.3">
      <c r="B40" s="19"/>
      <c r="C40" s="24">
        <v>29</v>
      </c>
      <c r="D40" s="24" t="s">
        <v>58</v>
      </c>
      <c r="E40" s="24" t="s">
        <v>59</v>
      </c>
      <c r="F40" s="24" t="s">
        <v>46</v>
      </c>
      <c r="G40" s="24" t="s">
        <v>60</v>
      </c>
      <c r="H40" s="24" t="s">
        <v>61</v>
      </c>
      <c r="I40" s="23" t="s">
        <v>21</v>
      </c>
      <c r="J40" s="24" t="s">
        <v>62</v>
      </c>
      <c r="K40" s="19"/>
      <c r="L40" s="19"/>
      <c r="M40" s="19"/>
      <c r="N40" s="19"/>
      <c r="O40" s="19"/>
      <c r="P40" s="19"/>
    </row>
    <row r="41" spans="2:16" x14ac:dyDescent="0.3">
      <c r="K41" s="19"/>
      <c r="L41" s="19"/>
      <c r="M41" s="19"/>
      <c r="N41" s="19"/>
      <c r="O41" s="19"/>
      <c r="P41" s="19"/>
    </row>
    <row r="42" spans="2:16" x14ac:dyDescent="0.3">
      <c r="K42" s="19"/>
      <c r="L42" s="19"/>
      <c r="M42" s="19"/>
      <c r="N42" s="19"/>
      <c r="O42" s="19"/>
      <c r="P42" s="19"/>
    </row>
  </sheetData>
  <mergeCells count="9">
    <mergeCell ref="C5:E5"/>
    <mergeCell ref="F5:H5"/>
    <mergeCell ref="C6:E6"/>
    <mergeCell ref="F6:H6"/>
    <mergeCell ref="C1:J1"/>
    <mergeCell ref="C3:E3"/>
    <mergeCell ref="F3:H3"/>
    <mergeCell ref="C4:E4"/>
    <mergeCell ref="F4:H4"/>
  </mergeCells>
  <phoneticPr fontId="13" type="noConversion"/>
  <dataValidations count="1">
    <dataValidation type="list" allowBlank="1" showInputMessage="1" showErrorMessage="1" sqref="I10:I31 I34:I40" xr:uid="{00000000-0002-0000-0100-000000000000}">
      <formula1>"PASSED,FAILED,SKIPPED"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dc:description/>
  <cp:lastModifiedBy>BTAIML3-2 SHREYA PANSE</cp:lastModifiedBy>
  <cp:revision>0</cp:revision>
  <dcterms:created xsi:type="dcterms:W3CDTF">2023-08-18T02:43:40Z</dcterms:created>
  <dcterms:modified xsi:type="dcterms:W3CDTF">2026-06-01T10:12:42Z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